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project greenwich\Code\"/>
    </mc:Choice>
  </mc:AlternateContent>
  <xr:revisionPtr revIDLastSave="0" documentId="13_ncr:1_{FC6432DB-D2A8-4E77-8AD0-39A13890BAA9}" xr6:coauthVersionLast="47" xr6:coauthVersionMax="47" xr10:uidLastSave="{00000000-0000-0000-0000-000000000000}"/>
  <bookViews>
    <workbookView xWindow="-120" yWindow="-120" windowWidth="29040" windowHeight="15720" xr2:uid="{E3D16D2D-E7C6-45B3-9A6E-B2A65710A4D1}"/>
  </bookViews>
  <sheets>
    <sheet name="Giai đoạn 1 " sheetId="1" r:id="rId1"/>
    <sheet name="Giai đoạn 2" sheetId="2" r:id="rId2"/>
    <sheet name="Mốc thăng tiế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26" i="1"/>
  <c r="D24" i="1"/>
  <c r="D20" i="1"/>
  <c r="D23" i="1"/>
  <c r="D19" i="1"/>
  <c r="D22" i="1"/>
  <c r="D18" i="1"/>
</calcChain>
</file>

<file path=xl/sharedStrings.xml><?xml version="1.0" encoding="utf-8"?>
<sst xmlns="http://schemas.openxmlformats.org/spreadsheetml/2006/main" count="100" uniqueCount="62">
  <si>
    <t>GIAI ĐOẠN 1: ONLY SHIPPING</t>
  </si>
  <si>
    <t>Yếu tố:</t>
  </si>
  <si>
    <t>Gía trị</t>
  </si>
  <si>
    <t>Đơn vị</t>
  </si>
  <si>
    <t>Ghi chú:</t>
  </si>
  <si>
    <t>Công ship</t>
  </si>
  <si>
    <t>Tip TB</t>
  </si>
  <si>
    <t>Khoảng biến động tip</t>
  </si>
  <si>
    <t>Chi phí xăng</t>
  </si>
  <si>
    <t>Tỉ lệ hỏng xe</t>
  </si>
  <si>
    <t>Chi phí sửa xe</t>
  </si>
  <si>
    <t>Chi phí sinh hoạt cố định</t>
  </si>
  <si>
    <t>VND/đơn</t>
  </si>
  <si>
    <t>VND</t>
  </si>
  <si>
    <t>%</t>
  </si>
  <si>
    <t>VND/lần</t>
  </si>
  <si>
    <t>VND/ngày</t>
  </si>
  <si>
    <t>Số tiền hệ thống trả cố định cho 1 đơn</t>
  </si>
  <si>
    <t>Khách tip</t>
  </si>
  <si>
    <t>Ở python sẽ để random từ 2k-8k</t>
  </si>
  <si>
    <t>Trừ vào ví sau mỗi 1 đơn</t>
  </si>
  <si>
    <t>Xác suất bị hỏng xe khi đang đi</t>
  </si>
  <si>
    <t>Trừ tiền nếu xe bị hỏng</t>
  </si>
  <si>
    <t>Tiền ăn, tiền điện… trừ vào cuối ngày</t>
  </si>
  <si>
    <t xml:space="preserve">GIAI ĐOẠN 2: MỞ QUÁN &amp; CÓ NHÂN VIÊN </t>
  </si>
  <si>
    <t>Yếu tố</t>
  </si>
  <si>
    <t>Ghi chú</t>
  </si>
  <si>
    <t>Nguyên liệu phở</t>
  </si>
  <si>
    <t>Nguyên liệu bánh mì</t>
  </si>
  <si>
    <t>Lương NPC đứng quán</t>
  </si>
  <si>
    <t>% chia shipper</t>
  </si>
  <si>
    <t>Tiền mặt bằng quán</t>
  </si>
  <si>
    <t>Gía 1 bát phở</t>
  </si>
  <si>
    <t>Gía 1 cái bánh mì</t>
  </si>
  <si>
    <t>VND/bát</t>
  </si>
  <si>
    <t>VND/chiếc</t>
  </si>
  <si>
    <t>%/đơn</t>
  </si>
  <si>
    <t>Bao gồm thịt, bánh, gia vị, rau hành</t>
  </si>
  <si>
    <t>Số tiền thu về 1 bát phở</t>
  </si>
  <si>
    <t>Bao gồm thịt, các loại topping, rau củ</t>
  </si>
  <si>
    <t>Số tiền thu về 1 chiếc bánh mì</t>
  </si>
  <si>
    <t>Trả cố định  cuối ngày</t>
  </si>
  <si>
    <t>Nếu chọn ở nhà,  chia NPC shipper 30% tiền ship đơn đó</t>
  </si>
  <si>
    <t xml:space="preserve">Chi phí thuê quán </t>
  </si>
  <si>
    <t>Vốn mở quán</t>
  </si>
  <si>
    <t>Gía nâng cấp xe</t>
  </si>
  <si>
    <t>MỐC THĂNG TIẾN</t>
  </si>
  <si>
    <t>Đủ tiền này thì giai đoạn 2 mới được sử dụng</t>
  </si>
  <si>
    <t>Một trong những mục tiêu của game</t>
  </si>
  <si>
    <t>Lãi bán phở = Gía bán - Gía nguyên liệu</t>
  </si>
  <si>
    <t>Lãi đi ship = Công ship + Tip - Xăng - rủi ro hỏng xe</t>
  </si>
  <si>
    <t>Tổng lợi nhuận cho 1 chuyến giao phở</t>
  </si>
  <si>
    <t>Lãi bán bánh mì = Gía bán - Gía nguyên liệu</t>
  </si>
  <si>
    <t>Tổng lợi nhuận nếu khách đặt cả bánh mì và phở</t>
  </si>
  <si>
    <t>Gỉa sử khách đặt số lượng là 1</t>
  </si>
  <si>
    <t>Số ngày cày cuốc để mở được quán</t>
  </si>
  <si>
    <t>Gỉa sử 1 ngày được 10 đơn, 5 bánh mì và 5 phở</t>
  </si>
  <si>
    <t>Lợi nhuận từ 5 đơn phở</t>
  </si>
  <si>
    <t>Lợi nhuận từ 5 đơn bánh mì</t>
  </si>
  <si>
    <t>Tổng lợi nhuận cho 1 chuyến giao bánh mì</t>
  </si>
  <si>
    <t>Tổng thu nhập ngày</t>
  </si>
  <si>
    <t xml:space="preserve">Trừ chi phí sinh hoạt: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</si>
</sst>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0" fillId="2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3" fontId="0" fillId="7" borderId="0" xfId="0" applyNumberFormat="1" applyFill="1" applyAlignment="1">
      <alignment horizontal="center"/>
    </xf>
    <xf numFmtId="3" fontId="0" fillId="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5E57-ED93-40E0-B896-FDAAA1419604}">
  <dimension ref="A1:G34"/>
  <sheetViews>
    <sheetView tabSelected="1" workbookViewId="0">
      <selection activeCell="E22" sqref="E22"/>
    </sheetView>
  </sheetViews>
  <sheetFormatPr defaultRowHeight="15" x14ac:dyDescent="0.25"/>
  <cols>
    <col min="1" max="1" width="41.85546875" customWidth="1"/>
    <col min="3" max="3" width="50.140625" customWidth="1"/>
    <col min="4" max="4" width="12.85546875" customWidth="1"/>
    <col min="5" max="5" width="15.7109375" customWidth="1"/>
    <col min="6" max="6" width="44" customWidth="1"/>
  </cols>
  <sheetData>
    <row r="1" spans="1:7" s="1" customFormat="1" ht="36" x14ac:dyDescent="0.55000000000000004">
      <c r="G1" s="1" t="s">
        <v>0</v>
      </c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 t="s">
        <v>1</v>
      </c>
      <c r="D4" s="2" t="s">
        <v>2</v>
      </c>
      <c r="E4" s="2" t="s">
        <v>3</v>
      </c>
      <c r="F4" s="2" t="s">
        <v>4</v>
      </c>
      <c r="G4" s="2"/>
    </row>
    <row r="5" spans="1:7" x14ac:dyDescent="0.25">
      <c r="A5" s="2"/>
      <c r="B5" s="2"/>
      <c r="C5" s="2" t="s">
        <v>5</v>
      </c>
      <c r="D5" s="3">
        <v>15000</v>
      </c>
      <c r="E5" s="2" t="s">
        <v>12</v>
      </c>
      <c r="F5" s="2" t="s">
        <v>17</v>
      </c>
      <c r="G5" s="2"/>
    </row>
    <row r="6" spans="1:7" x14ac:dyDescent="0.25">
      <c r="A6" s="2"/>
      <c r="B6" s="2"/>
      <c r="C6" s="2" t="s">
        <v>6</v>
      </c>
      <c r="D6" s="3">
        <v>5000</v>
      </c>
      <c r="E6" s="2" t="s">
        <v>12</v>
      </c>
      <c r="F6" s="2" t="s">
        <v>18</v>
      </c>
      <c r="G6" s="2"/>
    </row>
    <row r="7" spans="1:7" x14ac:dyDescent="0.25">
      <c r="A7" s="2"/>
      <c r="B7" s="2"/>
      <c r="C7" s="2" t="s">
        <v>7</v>
      </c>
      <c r="D7" s="3">
        <v>3000</v>
      </c>
      <c r="E7" s="2" t="s">
        <v>13</v>
      </c>
      <c r="F7" s="2" t="s">
        <v>19</v>
      </c>
      <c r="G7" s="2"/>
    </row>
    <row r="8" spans="1:7" x14ac:dyDescent="0.25">
      <c r="A8" s="2"/>
      <c r="B8" s="2"/>
      <c r="C8" s="2" t="s">
        <v>8</v>
      </c>
      <c r="D8" s="3">
        <v>2000</v>
      </c>
      <c r="E8" s="2" t="s">
        <v>12</v>
      </c>
      <c r="F8" s="2" t="s">
        <v>20</v>
      </c>
      <c r="G8" s="2"/>
    </row>
    <row r="9" spans="1:7" x14ac:dyDescent="0.25">
      <c r="A9" s="2"/>
      <c r="B9" s="2"/>
      <c r="C9" s="2" t="s">
        <v>9</v>
      </c>
      <c r="D9" s="3">
        <v>5</v>
      </c>
      <c r="E9" s="2" t="s">
        <v>14</v>
      </c>
      <c r="F9" s="2" t="s">
        <v>21</v>
      </c>
      <c r="G9" s="2"/>
    </row>
    <row r="10" spans="1:7" x14ac:dyDescent="0.25">
      <c r="A10" s="2"/>
      <c r="B10" s="2"/>
      <c r="C10" s="2" t="s">
        <v>10</v>
      </c>
      <c r="D10" s="3">
        <v>80000</v>
      </c>
      <c r="E10" s="2" t="s">
        <v>15</v>
      </c>
      <c r="F10" s="2" t="s">
        <v>22</v>
      </c>
      <c r="G10" s="2"/>
    </row>
    <row r="11" spans="1:7" x14ac:dyDescent="0.25">
      <c r="A11" s="2"/>
      <c r="B11" s="2"/>
      <c r="C11" s="2" t="s">
        <v>11</v>
      </c>
      <c r="D11" s="3">
        <v>80000</v>
      </c>
      <c r="E11" s="2" t="s">
        <v>16</v>
      </c>
      <c r="F11" s="2" t="s">
        <v>23</v>
      </c>
      <c r="G11" s="2"/>
    </row>
    <row r="12" spans="1:7" x14ac:dyDescent="0.25">
      <c r="A12" s="2"/>
      <c r="B12" s="2"/>
      <c r="C12" s="5" t="s">
        <v>27</v>
      </c>
      <c r="D12" s="6">
        <v>23000</v>
      </c>
      <c r="E12" s="5" t="s">
        <v>34</v>
      </c>
      <c r="F12" s="5" t="s">
        <v>37</v>
      </c>
      <c r="G12" s="2"/>
    </row>
    <row r="13" spans="1:7" x14ac:dyDescent="0.25">
      <c r="C13" s="5" t="s">
        <v>32</v>
      </c>
      <c r="D13" s="6">
        <v>40000</v>
      </c>
      <c r="E13" s="5" t="s">
        <v>34</v>
      </c>
      <c r="F13" s="5" t="s">
        <v>38</v>
      </c>
    </row>
    <row r="14" spans="1:7" x14ac:dyDescent="0.25">
      <c r="C14" s="5" t="s">
        <v>28</v>
      </c>
      <c r="D14" s="6">
        <v>10000</v>
      </c>
      <c r="E14" s="5" t="s">
        <v>35</v>
      </c>
      <c r="F14" s="5" t="s">
        <v>39</v>
      </c>
    </row>
    <row r="15" spans="1:7" x14ac:dyDescent="0.25">
      <c r="C15" s="5" t="s">
        <v>33</v>
      </c>
      <c r="D15" s="6">
        <v>20000</v>
      </c>
      <c r="E15" s="5" t="s">
        <v>35</v>
      </c>
      <c r="F15" s="5" t="s">
        <v>40</v>
      </c>
    </row>
    <row r="17" spans="1:5" s="10" customFormat="1" ht="4.5" customHeight="1" x14ac:dyDescent="0.25"/>
    <row r="18" spans="1:5" ht="19.5" customHeight="1" x14ac:dyDescent="0.25">
      <c r="A18" s="11" t="s">
        <v>54</v>
      </c>
      <c r="B18" s="2"/>
      <c r="C18" s="7" t="s">
        <v>49</v>
      </c>
      <c r="D18" s="12">
        <f>(D13-D12)</f>
        <v>17000</v>
      </c>
      <c r="E18" s="7" t="s">
        <v>34</v>
      </c>
    </row>
    <row r="19" spans="1:5" x14ac:dyDescent="0.25">
      <c r="A19" s="2"/>
      <c r="B19" s="2"/>
      <c r="C19" s="7" t="s">
        <v>50</v>
      </c>
      <c r="D19" s="12">
        <f>(D5+D6-D8-(D10*D9/100))</f>
        <v>14000</v>
      </c>
      <c r="E19" s="7" t="s">
        <v>12</v>
      </c>
    </row>
    <row r="20" spans="1:5" x14ac:dyDescent="0.25">
      <c r="A20" s="2"/>
      <c r="B20" s="2"/>
      <c r="C20" s="7" t="s">
        <v>51</v>
      </c>
      <c r="D20" s="12">
        <f>D18+D19</f>
        <v>31000</v>
      </c>
      <c r="E20" s="7" t="s">
        <v>12</v>
      </c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8" t="s">
        <v>52</v>
      </c>
      <c r="D22" s="13">
        <f>D15-D14</f>
        <v>10000</v>
      </c>
      <c r="E22" s="8" t="s">
        <v>35</v>
      </c>
    </row>
    <row r="23" spans="1:5" x14ac:dyDescent="0.25">
      <c r="A23" s="2"/>
      <c r="B23" s="2"/>
      <c r="C23" s="8" t="s">
        <v>50</v>
      </c>
      <c r="D23" s="13">
        <f>(D5+D6-D8-(D10*D9/100))</f>
        <v>14000</v>
      </c>
      <c r="E23" s="8" t="s">
        <v>12</v>
      </c>
    </row>
    <row r="24" spans="1:5" x14ac:dyDescent="0.25">
      <c r="A24" s="2"/>
      <c r="B24" s="2"/>
      <c r="C24" s="8" t="s">
        <v>59</v>
      </c>
      <c r="D24" s="13">
        <f>D22+D23</f>
        <v>24000</v>
      </c>
      <c r="E24" s="8" t="s">
        <v>12</v>
      </c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9" t="s">
        <v>53</v>
      </c>
      <c r="D26" s="14">
        <f>D18+D19+D22</f>
        <v>41000</v>
      </c>
      <c r="E26" s="9" t="s">
        <v>12</v>
      </c>
    </row>
    <row r="27" spans="1:5" x14ac:dyDescent="0.25">
      <c r="A27" s="2"/>
      <c r="B27" s="2"/>
      <c r="C27" s="2"/>
      <c r="D27" s="2"/>
      <c r="E27" s="2"/>
    </row>
    <row r="28" spans="1:5" s="10" customFormat="1" ht="3.75" customHeight="1" x14ac:dyDescent="0.25">
      <c r="A28" s="15"/>
      <c r="B28" s="15"/>
      <c r="C28" s="15"/>
      <c r="D28" s="15"/>
      <c r="E28" s="15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11" t="s">
        <v>55</v>
      </c>
      <c r="B31" s="2"/>
      <c r="C31" s="16" t="s">
        <v>57</v>
      </c>
      <c r="D31" s="17">
        <f>D20*5</f>
        <v>155000</v>
      </c>
      <c r="E31" s="16" t="s">
        <v>13</v>
      </c>
    </row>
    <row r="32" spans="1:5" x14ac:dyDescent="0.25">
      <c r="A32" s="11" t="s">
        <v>56</v>
      </c>
      <c r="B32" s="2"/>
      <c r="C32" s="16" t="s">
        <v>58</v>
      </c>
      <c r="D32" s="18">
        <f>D24 * 5</f>
        <v>120000</v>
      </c>
      <c r="E32" s="16" t="s">
        <v>13</v>
      </c>
    </row>
    <row r="33" spans="1:5" x14ac:dyDescent="0.25">
      <c r="A33" s="2"/>
      <c r="B33" s="2"/>
      <c r="C33" s="16" t="s">
        <v>60</v>
      </c>
      <c r="D33" s="17">
        <f>D31+D32</f>
        <v>275000</v>
      </c>
      <c r="E33" s="16" t="s">
        <v>13</v>
      </c>
    </row>
    <row r="34" spans="1:5" x14ac:dyDescent="0.25">
      <c r="A34" s="2"/>
      <c r="B34" s="2"/>
      <c r="C34" s="16" t="s">
        <v>61</v>
      </c>
      <c r="D34" s="17">
        <f>D33-D11</f>
        <v>195000</v>
      </c>
      <c r="E34" s="16" t="s">
        <v>13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46A6-33E0-4592-A265-47A6EE78AA61}">
  <dimension ref="E1:L20"/>
  <sheetViews>
    <sheetView workbookViewId="0">
      <selection activeCell="J7" sqref="J7:J10"/>
    </sheetView>
  </sheetViews>
  <sheetFormatPr defaultRowHeight="15" x14ac:dyDescent="0.25"/>
  <cols>
    <col min="7" max="7" width="23.28515625" customWidth="1"/>
    <col min="9" max="9" width="14.42578125" customWidth="1"/>
    <col min="10" max="10" width="53" customWidth="1"/>
  </cols>
  <sheetData>
    <row r="1" spans="5:12" s="4" customFormat="1" ht="26.25" x14ac:dyDescent="0.4">
      <c r="G1" s="4" t="s">
        <v>24</v>
      </c>
    </row>
    <row r="2" spans="5:12" x14ac:dyDescent="0.25">
      <c r="E2" s="5"/>
      <c r="F2" s="5"/>
      <c r="G2" s="5"/>
      <c r="H2" s="5"/>
      <c r="I2" s="5"/>
      <c r="J2" s="5"/>
      <c r="K2" s="5"/>
      <c r="L2" s="5"/>
    </row>
    <row r="3" spans="5:12" x14ac:dyDescent="0.25">
      <c r="E3" s="5"/>
      <c r="F3" s="5"/>
      <c r="G3" s="5"/>
      <c r="H3" s="5"/>
      <c r="I3" s="5"/>
      <c r="J3" s="5"/>
      <c r="K3" s="5"/>
      <c r="L3" s="5"/>
    </row>
    <row r="4" spans="5:12" x14ac:dyDescent="0.25">
      <c r="E4" s="5"/>
      <c r="F4" s="5"/>
      <c r="G4" s="5"/>
      <c r="H4" s="5"/>
      <c r="I4" s="5"/>
      <c r="J4" s="5"/>
      <c r="K4" s="5"/>
      <c r="L4" s="5"/>
    </row>
    <row r="5" spans="5:12" x14ac:dyDescent="0.25">
      <c r="E5" s="5"/>
      <c r="F5" s="5"/>
      <c r="G5" s="5"/>
      <c r="H5" s="5"/>
      <c r="I5" s="5"/>
      <c r="J5" s="5"/>
      <c r="K5" s="5"/>
      <c r="L5" s="5"/>
    </row>
    <row r="6" spans="5:12" x14ac:dyDescent="0.25">
      <c r="E6" s="5"/>
      <c r="F6" s="5"/>
      <c r="G6" s="5" t="s">
        <v>25</v>
      </c>
      <c r="H6" s="5" t="s">
        <v>2</v>
      </c>
      <c r="I6" s="5" t="s">
        <v>3</v>
      </c>
      <c r="J6" s="5" t="s">
        <v>26</v>
      </c>
      <c r="K6" s="5"/>
      <c r="L6" s="5"/>
    </row>
    <row r="7" spans="5:12" x14ac:dyDescent="0.25">
      <c r="E7" s="5"/>
      <c r="F7" s="5"/>
      <c r="G7" s="5" t="s">
        <v>27</v>
      </c>
      <c r="H7" s="6">
        <v>23000</v>
      </c>
      <c r="I7" s="5" t="s">
        <v>34</v>
      </c>
      <c r="J7" s="5" t="s">
        <v>37</v>
      </c>
      <c r="K7" s="5"/>
      <c r="L7" s="5"/>
    </row>
    <row r="8" spans="5:12" x14ac:dyDescent="0.25">
      <c r="E8" s="5"/>
      <c r="F8" s="5"/>
      <c r="G8" s="5" t="s">
        <v>32</v>
      </c>
      <c r="H8" s="6">
        <v>40000</v>
      </c>
      <c r="I8" s="5" t="s">
        <v>34</v>
      </c>
      <c r="J8" s="5" t="s">
        <v>38</v>
      </c>
      <c r="K8" s="5"/>
      <c r="L8" s="5"/>
    </row>
    <row r="9" spans="5:12" x14ac:dyDescent="0.25">
      <c r="E9" s="5"/>
      <c r="F9" s="5"/>
      <c r="G9" s="5" t="s">
        <v>28</v>
      </c>
      <c r="H9" s="6">
        <v>10000</v>
      </c>
      <c r="I9" s="5" t="s">
        <v>35</v>
      </c>
      <c r="J9" s="5" t="s">
        <v>39</v>
      </c>
      <c r="K9" s="5"/>
      <c r="L9" s="5"/>
    </row>
    <row r="10" spans="5:12" x14ac:dyDescent="0.25">
      <c r="E10" s="5"/>
      <c r="F10" s="5"/>
      <c r="G10" s="5" t="s">
        <v>33</v>
      </c>
      <c r="H10" s="6">
        <v>20000</v>
      </c>
      <c r="I10" s="5" t="s">
        <v>35</v>
      </c>
      <c r="J10" s="5" t="s">
        <v>40</v>
      </c>
      <c r="K10" s="5"/>
      <c r="L10" s="5"/>
    </row>
    <row r="11" spans="5:12" x14ac:dyDescent="0.25">
      <c r="E11" s="5"/>
      <c r="F11" s="5"/>
      <c r="G11" s="5" t="s">
        <v>29</v>
      </c>
      <c r="H11" s="6">
        <v>100000</v>
      </c>
      <c r="I11" s="5" t="s">
        <v>16</v>
      </c>
      <c r="J11" s="5" t="s">
        <v>41</v>
      </c>
      <c r="K11" s="5"/>
      <c r="L11" s="5"/>
    </row>
    <row r="12" spans="5:12" x14ac:dyDescent="0.25">
      <c r="E12" s="5"/>
      <c r="F12" s="5"/>
      <c r="G12" s="5" t="s">
        <v>30</v>
      </c>
      <c r="H12" s="6">
        <v>30</v>
      </c>
      <c r="I12" s="5" t="s">
        <v>36</v>
      </c>
      <c r="J12" s="5" t="s">
        <v>42</v>
      </c>
      <c r="K12" s="5"/>
      <c r="L12" s="5"/>
    </row>
    <row r="13" spans="5:12" x14ac:dyDescent="0.25">
      <c r="E13" s="5"/>
      <c r="F13" s="5"/>
      <c r="G13" s="5" t="s">
        <v>31</v>
      </c>
      <c r="H13" s="6">
        <v>50000</v>
      </c>
      <c r="I13" s="5" t="s">
        <v>16</v>
      </c>
      <c r="J13" s="5" t="s">
        <v>43</v>
      </c>
      <c r="K13" s="5"/>
      <c r="L13" s="5"/>
    </row>
    <row r="14" spans="5:12" x14ac:dyDescent="0.25">
      <c r="E14" s="5"/>
      <c r="F14" s="5"/>
      <c r="G14" s="5"/>
      <c r="H14" s="5"/>
      <c r="I14" s="5"/>
      <c r="J14" s="5"/>
      <c r="K14" s="5"/>
      <c r="L14" s="5"/>
    </row>
    <row r="15" spans="5:12" x14ac:dyDescent="0.25">
      <c r="E15" s="5"/>
      <c r="F15" s="5"/>
      <c r="G15" s="5"/>
      <c r="H15" s="5"/>
      <c r="I15" s="5"/>
      <c r="J15" s="5"/>
      <c r="K15" s="5"/>
      <c r="L15" s="5"/>
    </row>
    <row r="16" spans="5:12" x14ac:dyDescent="0.25">
      <c r="E16" s="5"/>
      <c r="F16" s="5"/>
      <c r="G16" s="5"/>
      <c r="H16" s="5"/>
      <c r="I16" s="5"/>
      <c r="J16" s="5"/>
      <c r="K16" s="5"/>
      <c r="L16" s="5"/>
    </row>
    <row r="17" spans="5:12" x14ac:dyDescent="0.25">
      <c r="E17" s="5"/>
      <c r="F17" s="5"/>
      <c r="G17" s="5"/>
      <c r="H17" s="5"/>
      <c r="I17" s="5"/>
      <c r="J17" s="5"/>
      <c r="K17" s="5"/>
      <c r="L17" s="5"/>
    </row>
    <row r="18" spans="5:12" x14ac:dyDescent="0.25">
      <c r="E18" s="5"/>
      <c r="F18" s="5"/>
      <c r="G18" s="5"/>
      <c r="H18" s="5"/>
      <c r="I18" s="5"/>
      <c r="J18" s="5"/>
      <c r="K18" s="5"/>
      <c r="L18" s="5"/>
    </row>
    <row r="19" spans="5:12" x14ac:dyDescent="0.25">
      <c r="E19" s="5"/>
      <c r="F19" s="5"/>
      <c r="G19" s="5"/>
      <c r="H19" s="5"/>
      <c r="I19" s="5"/>
      <c r="J19" s="5"/>
      <c r="K19" s="5"/>
      <c r="L19" s="5"/>
    </row>
    <row r="20" spans="5:12" x14ac:dyDescent="0.25">
      <c r="E20" s="5"/>
      <c r="F20" s="5"/>
      <c r="G20" s="5"/>
      <c r="H20" s="5"/>
      <c r="I20" s="5"/>
      <c r="J20" s="5"/>
      <c r="K20" s="5"/>
      <c r="L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4DC5-42AA-4B9C-8EFF-33ACF15C98DD}">
  <dimension ref="E1:U23"/>
  <sheetViews>
    <sheetView workbookViewId="0">
      <selection activeCell="J25" sqref="J25"/>
    </sheetView>
  </sheetViews>
  <sheetFormatPr defaultRowHeight="15" x14ac:dyDescent="0.25"/>
  <cols>
    <col min="8" max="8" width="18.42578125" customWidth="1"/>
    <col min="9" max="9" width="12.85546875" customWidth="1"/>
    <col min="10" max="10" width="14.140625" customWidth="1"/>
  </cols>
  <sheetData>
    <row r="1" spans="5:21" s="4" customFormat="1" ht="26.25" x14ac:dyDescent="0.4">
      <c r="G1" s="4" t="s">
        <v>46</v>
      </c>
    </row>
    <row r="4" spans="5:21" x14ac:dyDescent="0.25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5:21" x14ac:dyDescent="0.25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5:21" x14ac:dyDescent="0.25">
      <c r="E6" s="2"/>
      <c r="F6" s="2"/>
      <c r="G6" s="2"/>
      <c r="H6" s="2" t="s">
        <v>25</v>
      </c>
      <c r="I6" s="2" t="s">
        <v>2</v>
      </c>
      <c r="J6" s="2" t="s">
        <v>3</v>
      </c>
      <c r="K6" s="2" t="s">
        <v>26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5:21" x14ac:dyDescent="0.25">
      <c r="E7" s="2"/>
      <c r="F7" s="2"/>
      <c r="G7" s="2"/>
      <c r="H7" s="2" t="s">
        <v>44</v>
      </c>
      <c r="I7" s="3">
        <v>3000000</v>
      </c>
      <c r="J7" s="2" t="s">
        <v>13</v>
      </c>
      <c r="K7" s="2" t="s">
        <v>47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5:21" x14ac:dyDescent="0.25">
      <c r="E8" s="2"/>
      <c r="F8" s="2"/>
      <c r="G8" s="2"/>
      <c r="H8" s="2" t="s">
        <v>45</v>
      </c>
      <c r="I8" s="3">
        <v>5000000</v>
      </c>
      <c r="J8" s="2" t="s">
        <v>13</v>
      </c>
      <c r="K8" s="2" t="s">
        <v>48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5:21" x14ac:dyDescent="0.25"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5:21" x14ac:dyDescent="0.25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5:21" x14ac:dyDescent="0.25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5:21" x14ac:dyDescent="0.25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5:21" x14ac:dyDescent="0.25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5:21" x14ac:dyDescent="0.25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5:21" x14ac:dyDescent="0.25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5:21" x14ac:dyDescent="0.25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5:21" x14ac:dyDescent="0.25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5:21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5:21" x14ac:dyDescent="0.2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5:21" x14ac:dyDescent="0.25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5:21" x14ac:dyDescent="0.25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5:21" x14ac:dyDescent="0.25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5:21" x14ac:dyDescent="0.25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Giai đoạn 1 </vt:lpstr>
      <vt:lpstr>Giai đoạn 2</vt:lpstr>
      <vt:lpstr>Mốc thăng tiến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2026-07-13T16:25:26Z</dcterms:created>
  <dcterms:modified xsi:type="dcterms:W3CDTF">2026-07-14T08:28:32Z</dcterms:modified>
</cp:coreProperties>
</file>